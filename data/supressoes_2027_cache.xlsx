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ene.santos\Documents\PLOA 2027\"/>
    </mc:Choice>
  </mc:AlternateContent>
  <xr:revisionPtr revIDLastSave="0" documentId="13_ncr:1_{0BC20E7C-914C-420E-95FE-7C61E822A559}" xr6:coauthVersionLast="36" xr6:coauthVersionMax="36" xr10:uidLastSave="{00000000-0000-0000-0000-000000000000}"/>
  <bookViews>
    <workbookView xWindow="0" yWindow="0" windowWidth="28800" windowHeight="12105" xr2:uid="{299E9146-D824-4244-B76A-3CB299B0630C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4" i="1" l="1"/>
  <c r="G29" i="1"/>
  <c r="G12" i="1"/>
  <c r="G19" i="1"/>
  <c r="G41" i="1"/>
  <c r="G42" i="1"/>
  <c r="G43" i="1"/>
  <c r="G44" i="1"/>
  <c r="G45" i="1"/>
  <c r="G40" i="1"/>
  <c r="G39" i="1"/>
  <c r="G38" i="1"/>
  <c r="G37" i="1"/>
  <c r="G36" i="1"/>
  <c r="G35" i="1"/>
  <c r="G34" i="1"/>
  <c r="G33" i="1"/>
  <c r="G32" i="1"/>
  <c r="D20" i="1"/>
  <c r="G6" i="1"/>
  <c r="D27" i="1"/>
  <c r="G16" i="1"/>
  <c r="G17" i="1"/>
  <c r="G18" i="1"/>
  <c r="G15" i="1"/>
  <c r="F27" i="1"/>
  <c r="G14" i="1"/>
  <c r="G13" i="1"/>
  <c r="G11" i="1"/>
  <c r="G10" i="1"/>
  <c r="G21" i="1"/>
  <c r="G23" i="1"/>
  <c r="G22" i="1"/>
  <c r="G9" i="1"/>
  <c r="G28" i="1"/>
  <c r="G27" i="1"/>
  <c r="G8" i="1"/>
  <c r="G20" i="1"/>
  <c r="G7" i="1"/>
  <c r="G5" i="1"/>
  <c r="G4" i="1"/>
</calcChain>
</file>

<file path=xl/sharedStrings.xml><?xml version="1.0" encoding="utf-8"?>
<sst xmlns="http://schemas.openxmlformats.org/spreadsheetml/2006/main" count="117" uniqueCount="69">
  <si>
    <t>Unidade</t>
  </si>
  <si>
    <t>Item de Despesa</t>
  </si>
  <si>
    <t>Orçamento 2027 (R$ Mi)</t>
  </si>
  <si>
    <t>Ação Sugerida</t>
  </si>
  <si>
    <t>Teto Ajustado 2027 (R$ Mi)</t>
  </si>
  <si>
    <t>Economia Gerada 2027 (R$ Mi)</t>
  </si>
  <si>
    <t>SGI</t>
  </si>
  <si>
    <t>Terceirização de Nível Médio (Nova Contratação)</t>
  </si>
  <si>
    <r>
      <t xml:space="preserve">Supressão de 38% </t>
    </r>
    <r>
      <rPr>
        <sz val="17"/>
        <rFont val="Calibri"/>
        <family val="2"/>
        <scheme val="minor"/>
      </rPr>
      <t>(125 vagas)</t>
    </r>
    <r>
      <rPr>
        <sz val="17"/>
        <color rgb="FF983C15"/>
        <rFont val="Calibri"/>
        <family val="2"/>
        <scheme val="minor"/>
      </rPr>
      <t xml:space="preserve"> </t>
    </r>
    <r>
      <rPr>
        <sz val="17"/>
        <color rgb="FF000000"/>
        <rFont val="Calibri"/>
        <family val="2"/>
        <scheme val="minor"/>
      </rPr>
      <t>da nova contratação para 200 vagas</t>
    </r>
  </si>
  <si>
    <t>Terceirização de Nível Superior (Contrato 039/2025)</t>
  </si>
  <si>
    <t>Manutenção das 85 vagas na renovação em Nov/26</t>
  </si>
  <si>
    <t>Mobiliário (Contrato 050/2025)</t>
  </si>
  <si>
    <t>Renovar a menor somente com o valor previsto para 2026. Em 2027 com recursos do PROFISCO</t>
  </si>
  <si>
    <t>Mobiliário (Contrato 040/2025)</t>
  </si>
  <si>
    <t>Combustível (Contrato 027/2025)</t>
  </si>
  <si>
    <t>Supressão de 25% do contrato em vigência</t>
  </si>
  <si>
    <t>Terceirização de Motoristas (Nova Contratação)</t>
  </si>
  <si>
    <t>Supressão de 10 vagas (passando de 50 para 40)</t>
  </si>
  <si>
    <t>Passagens Aéreas (Contrato 032/2025)</t>
  </si>
  <si>
    <t>Supressão de 40% </t>
  </si>
  <si>
    <t>Serviços Gerais (Contrato 010/2025 - IMPAX)</t>
  </si>
  <si>
    <t>Supressão de 36%</t>
  </si>
  <si>
    <t>Serviços Gerais (Contrato 009/2025 - GLOBO)</t>
  </si>
  <si>
    <t>Supressão de 11% </t>
  </si>
  <si>
    <t>Vigilância Armada (Contrato 054/2025)</t>
  </si>
  <si>
    <t xml:space="preserve">Supressão de 33% </t>
  </si>
  <si>
    <t>Locação de veículos (Contrato 018/2025 - Cretas)</t>
  </si>
  <si>
    <t>Supressão de 23% do contrato em vigência até 2028</t>
  </si>
  <si>
    <t>Locação de veículos (Contrato 019/2025 - S-10 )</t>
  </si>
  <si>
    <t>Supressão de 100% do contrato em vigência até 2028</t>
  </si>
  <si>
    <t>Locação de veículos (Contrato 016/2025 - Titano)</t>
  </si>
  <si>
    <t>Supressão de 40% do contrato em vigência até 2028</t>
  </si>
  <si>
    <t>Locação de veículos (Contrato 013/2023 - SUV)</t>
  </si>
  <si>
    <t>Sem Supressão</t>
  </si>
  <si>
    <t>Locação de veículos (Contrato 020/2025 - Minibus)</t>
  </si>
  <si>
    <t>Locação de veículos (Contrato 017/2025 - Corolla)</t>
  </si>
  <si>
    <t>Reforma do Complexo (Contrato 012/2026)</t>
  </si>
  <si>
    <t>Supressão de 84% do contrato em vigência</t>
  </si>
  <si>
    <t>Comunicação Visual (Contrato 003/2026)</t>
  </si>
  <si>
    <t>Realizar apenas demandas urgentes</t>
  </si>
  <si>
    <t>Eventos (Contrato 041/2025)</t>
  </si>
  <si>
    <t>Não realizar nova contratação</t>
  </si>
  <si>
    <t>Corrida de Rua (Nova Contratação)</t>
  </si>
  <si>
    <t>RECEITA</t>
  </si>
  <si>
    <t>OCR Fixo (Nova Contratação)</t>
  </si>
  <si>
    <t>Não realizar nova contratação, manter contrato atual com renovação a partir de Jun/26</t>
  </si>
  <si>
    <t>OCR Móvel (Nova Contratação)</t>
  </si>
  <si>
    <t>Diminuir o escopo da nova contratação em 50%, que inicia em Jan/27</t>
  </si>
  <si>
    <t>STI</t>
  </si>
  <si>
    <t>Desenvolvimento TI (nova contratação) - investimento - receita (programa de modernização e inovação)</t>
  </si>
  <si>
    <t>Supressão de 52% da Nova Contratação</t>
  </si>
  <si>
    <t>Desenvolvimento TI  (nova contratação) - Custeio</t>
  </si>
  <si>
    <t>Desenvolvimento TI  (nova contratação) - Investimento - soluções de TI (demais áreas)</t>
  </si>
  <si>
    <t>Desenvolvimento TI (nova contratação) - investimento - receita (infotrânsito)</t>
  </si>
  <si>
    <t xml:space="preserve">Desenvolvimento TI (nova contratação) - investimento - implantação centro de custo </t>
  </si>
  <si>
    <t>Business Analytics (Nova Contratação)</t>
  </si>
  <si>
    <t>Supressão de 60% da Nova Contratação</t>
  </si>
  <si>
    <t>Link de Dados (Contrato 024/2024)</t>
  </si>
  <si>
    <t>Supressão de 10% dos Contratos em vigência até mar/2027</t>
  </si>
  <si>
    <t>Link de Dados (Contrato 025/2024)</t>
  </si>
  <si>
    <t>Link de Dados (Contrato 032/2024)</t>
  </si>
  <si>
    <t>Créditos para serviços de Inteligência Artificial em Nuvem (ARP) (Contrato 021/2025)</t>
  </si>
  <si>
    <t>Supressão de 10% do contrato em vigência até mai/2027</t>
  </si>
  <si>
    <t>SAS. Custeio (Contrato 051/2024)</t>
  </si>
  <si>
    <t>Supressão de 13% do contrato em vigência até dez/2027</t>
  </si>
  <si>
    <t>Licenças de softwares Microsoft (Contrato 058/2025)</t>
  </si>
  <si>
    <t>Supressão de 28%  do contrato em vigência até dez/2027</t>
  </si>
  <si>
    <t>Antivírus (Contrato 024/2023)</t>
  </si>
  <si>
    <t>Supressão de 95%  do contrato em vigência até ago/2027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</si>
</sst>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.00_ ;[Red]\-#,##0.00\ 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7"/>
      <color theme="1"/>
      <name val="Calibri"/>
      <family val="2"/>
      <scheme val="minor"/>
    </font>
    <font>
      <sz val="17"/>
      <color rgb="FF000000"/>
      <name val="Calibri"/>
      <family val="2"/>
      <scheme val="minor"/>
    </font>
    <font>
      <sz val="17"/>
      <color rgb="FF983C15"/>
      <name val="Calibri"/>
      <family val="2"/>
      <scheme val="minor"/>
    </font>
    <font>
      <b/>
      <sz val="17"/>
      <color rgb="FFFFFFFF"/>
      <name val="Calibri"/>
      <family val="2"/>
      <scheme val="minor"/>
    </font>
    <font>
      <sz val="17"/>
      <name val="Calibri"/>
      <family val="2"/>
      <scheme val="minor"/>
    </font>
    <font>
      <b/>
      <sz val="17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3D83"/>
        <bgColor indexed="64"/>
      </patternFill>
    </fill>
  </fills>
  <borders count="6">
    <border>
      <left/>
      <right/>
      <top/>
      <bottom/>
      <diagonal/>
    </border>
    <border>
      <left style="medium">
        <color rgb="FFA6A6A6"/>
      </left>
      <right style="medium">
        <color rgb="FFA6A6A6"/>
      </right>
      <top style="medium">
        <color rgb="FFA6A6A6"/>
      </top>
      <bottom style="thin">
        <color theme="4" tint="0.39997558519241921"/>
      </bottom>
      <diagonal/>
    </border>
    <border>
      <left style="medium">
        <color rgb="FFA6A6A6"/>
      </left>
      <right style="medium">
        <color rgb="FFA6A6A6"/>
      </right>
      <top style="medium">
        <color rgb="FFA6A6A6"/>
      </top>
      <bottom style="medium">
        <color rgb="FFA6A6A6"/>
      </bottom>
      <diagonal/>
    </border>
    <border>
      <left style="medium">
        <color rgb="FFA6A6A6"/>
      </left>
      <right style="medium">
        <color rgb="FFA6A6A6"/>
      </right>
      <top/>
      <bottom/>
      <diagonal/>
    </border>
    <border>
      <left style="medium">
        <color rgb="FFA6A6A6"/>
      </left>
      <right style="medium">
        <color rgb="FFA6A6A6"/>
      </right>
      <top style="medium">
        <color rgb="FFA6A6A6"/>
      </top>
      <bottom/>
      <diagonal/>
    </border>
    <border>
      <left style="medium">
        <color rgb="FFA6A6A6"/>
      </left>
      <right style="medium">
        <color rgb="FFA6A6A6"/>
      </right>
      <top/>
      <bottom style="medium">
        <color rgb="FFA6A6A6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5" fillId="2" borderId="2" xfId="0" applyFont="1" applyFill="1" applyBorder="1" applyAlignment="1">
      <alignment vertical="center" wrapText="1"/>
    </xf>
    <xf numFmtId="43" fontId="0" fillId="0" borderId="0" xfId="0" applyNumberFormat="1"/>
    <xf numFmtId="9" fontId="0" fillId="0" borderId="0" xfId="2" applyFont="1"/>
    <xf numFmtId="0" fontId="2" fillId="0" borderId="1" xfId="0" applyFont="1" applyBorder="1" applyAlignment="1">
      <alignment vertical="center" wrapText="1"/>
    </xf>
    <xf numFmtId="43" fontId="2" fillId="0" borderId="1" xfId="1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164" fontId="2" fillId="0" borderId="1" xfId="1" applyNumberFormat="1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164" fontId="7" fillId="0" borderId="2" xfId="0" applyNumberFormat="1" applyFont="1" applyBorder="1" applyAlignment="1">
      <alignment vertical="center" wrapText="1"/>
    </xf>
    <xf numFmtId="164" fontId="7" fillId="0" borderId="1" xfId="1" applyNumberFormat="1" applyFont="1" applyBorder="1" applyAlignment="1">
      <alignment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4" fontId="0" fillId="0" borderId="0" xfId="0" applyNumberFormat="1"/>
    <xf numFmtId="164" fontId="0" fillId="0" borderId="0" xfId="0" applyNumberFormat="1"/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81EBF-14F3-40DF-957F-5C53DD9176C4}">
  <dimension ref="B2:I45"/>
  <sheetViews>
    <sheetView tabSelected="1" topLeftCell="D18" zoomScale="60" zoomScaleNormal="60" workbookViewId="0" xr3:uid="{891369A1-7B00-5297-8BDE-262D1EBDD427}">
      <selection activeCell="I26" sqref="I26"/>
    </sheetView>
  </sheetViews>
  <sheetFormatPr defaultRowHeight="15"/>
  <cols>
    <col min="2" max="2" width="18.140625" customWidth="1"/>
    <col min="3" max="3" width="169.5703125" bestFit="1" customWidth="1"/>
    <col min="4" max="4" width="35.85546875" bestFit="1" customWidth="1"/>
    <col min="5" max="5" width="132.140625" bestFit="1" customWidth="1"/>
    <col min="6" max="6" width="29" bestFit="1" customWidth="1"/>
    <col min="7" max="7" width="27.5703125" customWidth="1"/>
    <col min="9" max="9" width="13.42578125" bestFit="1" customWidth="1"/>
  </cols>
  <sheetData>
    <row r="2" spans="2:9" ht="15.75" thickBot="1"/>
    <row r="3" spans="2:9" ht="45.75" thickBot="1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</row>
    <row r="4" spans="2:9" ht="23.25" thickBot="1">
      <c r="B4" s="4" t="s">
        <v>6</v>
      </c>
      <c r="C4" s="4" t="s">
        <v>7</v>
      </c>
      <c r="D4" s="5">
        <v>28982526.300000001</v>
      </c>
      <c r="E4" s="6" t="s">
        <v>8</v>
      </c>
      <c r="F4" s="5">
        <v>14471182.4</v>
      </c>
      <c r="G4" s="7">
        <f t="shared" ref="G4:G12" si="0">D4-F4</f>
        <v>14511343.9</v>
      </c>
      <c r="I4" s="15"/>
    </row>
    <row r="5" spans="2:9" ht="23.25" thickBot="1">
      <c r="B5" s="4" t="s">
        <v>6</v>
      </c>
      <c r="C5" s="8" t="s">
        <v>9</v>
      </c>
      <c r="D5" s="5">
        <v>31295387.844000001</v>
      </c>
      <c r="E5" s="8" t="s">
        <v>10</v>
      </c>
      <c r="F5" s="5">
        <v>16100191.199999999</v>
      </c>
      <c r="G5" s="7">
        <f t="shared" si="0"/>
        <v>15195196.644000001</v>
      </c>
      <c r="I5" s="15"/>
    </row>
    <row r="6" spans="2:9" ht="23.25" thickBot="1">
      <c r="B6" s="4" t="s">
        <v>6</v>
      </c>
      <c r="C6" s="8" t="s">
        <v>11</v>
      </c>
      <c r="D6" s="5">
        <v>1151540</v>
      </c>
      <c r="E6" s="8" t="s">
        <v>12</v>
      </c>
      <c r="F6" s="5">
        <v>0</v>
      </c>
      <c r="G6" s="7">
        <f t="shared" ref="G6" si="1">D6-F6</f>
        <v>1151540</v>
      </c>
      <c r="I6" s="15"/>
    </row>
    <row r="7" spans="2:9" ht="23.25" thickBot="1">
      <c r="B7" s="4" t="s">
        <v>6</v>
      </c>
      <c r="C7" s="8" t="s">
        <v>13</v>
      </c>
      <c r="D7" s="5">
        <v>2121861.7400000002</v>
      </c>
      <c r="E7" s="8" t="s">
        <v>12</v>
      </c>
      <c r="F7" s="5">
        <v>0</v>
      </c>
      <c r="G7" s="7">
        <f t="shared" si="0"/>
        <v>2121861.7400000002</v>
      </c>
      <c r="I7" s="15"/>
    </row>
    <row r="8" spans="2:9" ht="23.25" thickBot="1">
      <c r="B8" s="4" t="s">
        <v>6</v>
      </c>
      <c r="C8" s="8" t="s">
        <v>14</v>
      </c>
      <c r="D8" s="5">
        <v>3564983.28</v>
      </c>
      <c r="E8" s="8" t="s">
        <v>15</v>
      </c>
      <c r="F8" s="5">
        <v>2664494.12</v>
      </c>
      <c r="G8" s="7">
        <f t="shared" si="0"/>
        <v>900489.15999999968</v>
      </c>
      <c r="I8" s="15"/>
    </row>
    <row r="9" spans="2:9" ht="23.25" thickBot="1">
      <c r="B9" s="4" t="s">
        <v>6</v>
      </c>
      <c r="C9" s="8" t="s">
        <v>16</v>
      </c>
      <c r="D9" s="5">
        <v>4562043.72</v>
      </c>
      <c r="E9" s="8" t="s">
        <v>17</v>
      </c>
      <c r="F9" s="5">
        <v>5244948</v>
      </c>
      <c r="G9" s="7">
        <f t="shared" si="0"/>
        <v>-682904.28000000026</v>
      </c>
      <c r="I9" s="15"/>
    </row>
    <row r="10" spans="2:9" ht="22.5">
      <c r="B10" s="4" t="s">
        <v>6</v>
      </c>
      <c r="C10" s="8" t="s">
        <v>18</v>
      </c>
      <c r="D10" s="5">
        <v>802647.07</v>
      </c>
      <c r="E10" s="8" t="s">
        <v>19</v>
      </c>
      <c r="F10" s="5">
        <v>482467.34</v>
      </c>
      <c r="G10" s="7">
        <f t="shared" si="0"/>
        <v>320179.72999999992</v>
      </c>
      <c r="I10" s="15"/>
    </row>
    <row r="11" spans="2:9" ht="23.25" thickBot="1">
      <c r="B11" s="4" t="s">
        <v>6</v>
      </c>
      <c r="C11" s="8" t="s">
        <v>20</v>
      </c>
      <c r="D11" s="5">
        <v>6494655.6399999997</v>
      </c>
      <c r="E11" s="8" t="s">
        <v>21</v>
      </c>
      <c r="F11" s="5">
        <v>4162068.05</v>
      </c>
      <c r="G11" s="7">
        <f t="shared" si="0"/>
        <v>2332587.59</v>
      </c>
      <c r="I11" s="15"/>
    </row>
    <row r="12" spans="2:9" ht="22.5">
      <c r="B12" s="4" t="s">
        <v>6</v>
      </c>
      <c r="C12" s="8" t="s">
        <v>22</v>
      </c>
      <c r="D12" s="5">
        <v>9158385.8599999994</v>
      </c>
      <c r="E12" s="8" t="s">
        <v>23</v>
      </c>
      <c r="F12" s="5">
        <v>8158385.8600000003</v>
      </c>
      <c r="G12" s="7">
        <f t="shared" si="0"/>
        <v>999999.99999999907</v>
      </c>
      <c r="I12" s="15"/>
    </row>
    <row r="13" spans="2:9" ht="23.25" thickBot="1">
      <c r="B13" s="4" t="s">
        <v>6</v>
      </c>
      <c r="C13" s="8" t="s">
        <v>24</v>
      </c>
      <c r="D13" s="5">
        <v>6861769.1100000003</v>
      </c>
      <c r="E13" s="8" t="s">
        <v>25</v>
      </c>
      <c r="F13" s="5">
        <v>4566612.2</v>
      </c>
      <c r="G13" s="7">
        <f>D13-F13</f>
        <v>2295156.91</v>
      </c>
      <c r="I13" s="15"/>
    </row>
    <row r="14" spans="2:9" ht="23.25" thickBot="1">
      <c r="B14" s="4" t="s">
        <v>6</v>
      </c>
      <c r="C14" s="8" t="s">
        <v>26</v>
      </c>
      <c r="D14" s="5">
        <v>6843002.4000000004</v>
      </c>
      <c r="E14" s="8" t="s">
        <v>27</v>
      </c>
      <c r="F14" s="5">
        <v>5250688.38</v>
      </c>
      <c r="G14" s="7">
        <f>D14-F14</f>
        <v>1592314.0200000005</v>
      </c>
      <c r="H14" s="3"/>
      <c r="I14" s="15"/>
    </row>
    <row r="15" spans="2:9" ht="23.25" thickBot="1">
      <c r="B15" s="4" t="s">
        <v>6</v>
      </c>
      <c r="C15" s="8" t="s">
        <v>28</v>
      </c>
      <c r="D15" s="5">
        <v>1719400.32</v>
      </c>
      <c r="E15" s="8" t="s">
        <v>29</v>
      </c>
      <c r="F15" s="5">
        <v>0</v>
      </c>
      <c r="G15" s="7">
        <f>D15-F15</f>
        <v>1719400.32</v>
      </c>
      <c r="H15" s="3"/>
      <c r="I15" s="15"/>
    </row>
    <row r="16" spans="2:9" ht="23.25" thickBot="1">
      <c r="B16" s="4" t="s">
        <v>6</v>
      </c>
      <c r="C16" s="8" t="s">
        <v>30</v>
      </c>
      <c r="D16" s="5">
        <v>4636130.4000000004</v>
      </c>
      <c r="E16" s="8" t="s">
        <v>31</v>
      </c>
      <c r="F16" s="5">
        <v>2765873.25</v>
      </c>
      <c r="G16" s="7">
        <f t="shared" ref="G16:G19" si="2">D16-F16</f>
        <v>1870257.1500000004</v>
      </c>
      <c r="H16" s="3"/>
      <c r="I16" s="15"/>
    </row>
    <row r="17" spans="2:9" ht="23.25" thickBot="1">
      <c r="B17" s="4" t="s">
        <v>6</v>
      </c>
      <c r="C17" s="8" t="s">
        <v>32</v>
      </c>
      <c r="D17" s="5">
        <v>91688.56</v>
      </c>
      <c r="E17" s="8" t="s">
        <v>33</v>
      </c>
      <c r="F17" s="5">
        <v>91688.56</v>
      </c>
      <c r="G17" s="5">
        <f t="shared" si="2"/>
        <v>0</v>
      </c>
      <c r="H17" s="3"/>
    </row>
    <row r="18" spans="2:9" ht="23.25" thickBot="1">
      <c r="B18" s="4" t="s">
        <v>6</v>
      </c>
      <c r="C18" s="8" t="s">
        <v>34</v>
      </c>
      <c r="D18" s="5">
        <v>134729.4</v>
      </c>
      <c r="E18" s="8" t="s">
        <v>29</v>
      </c>
      <c r="F18" s="5">
        <v>0</v>
      </c>
      <c r="G18" s="7">
        <f t="shared" si="2"/>
        <v>134729.4</v>
      </c>
      <c r="H18" s="3"/>
      <c r="I18" s="15"/>
    </row>
    <row r="19" spans="2:9" ht="23.25" thickBot="1">
      <c r="B19" s="4" t="s">
        <v>6</v>
      </c>
      <c r="C19" s="8" t="s">
        <v>35</v>
      </c>
      <c r="D19" s="5">
        <v>51980.42</v>
      </c>
      <c r="E19" s="8" t="s">
        <v>33</v>
      </c>
      <c r="F19" s="5">
        <v>51980.42</v>
      </c>
      <c r="G19" s="5">
        <f t="shared" si="2"/>
        <v>0</v>
      </c>
      <c r="H19" s="3"/>
    </row>
    <row r="20" spans="2:9" ht="23.25" thickBot="1">
      <c r="B20" s="4" t="s">
        <v>6</v>
      </c>
      <c r="C20" s="8" t="s">
        <v>36</v>
      </c>
      <c r="D20" s="5">
        <f>5595464.34+504773.22</f>
        <v>6100237.5599999996</v>
      </c>
      <c r="E20" s="8" t="s">
        <v>37</v>
      </c>
      <c r="F20" s="5">
        <v>1000000</v>
      </c>
      <c r="G20" s="7">
        <f>D20-F20</f>
        <v>5100237.5599999996</v>
      </c>
      <c r="H20" s="3"/>
      <c r="I20" s="15"/>
    </row>
    <row r="21" spans="2:9" ht="23.25" thickBot="1">
      <c r="B21" s="4" t="s">
        <v>6</v>
      </c>
      <c r="C21" s="8" t="s">
        <v>38</v>
      </c>
      <c r="D21" s="5">
        <v>2813016</v>
      </c>
      <c r="E21" s="8" t="s">
        <v>39</v>
      </c>
      <c r="F21" s="5">
        <v>500000</v>
      </c>
      <c r="G21" s="7">
        <f>D21-F21</f>
        <v>2313016</v>
      </c>
      <c r="H21" s="3"/>
      <c r="I21" s="15"/>
    </row>
    <row r="22" spans="2:9" ht="23.25" thickBot="1">
      <c r="B22" s="4" t="s">
        <v>6</v>
      </c>
      <c r="C22" s="8" t="s">
        <v>40</v>
      </c>
      <c r="D22" s="5">
        <v>500000</v>
      </c>
      <c r="E22" s="8" t="s">
        <v>41</v>
      </c>
      <c r="F22" s="5">
        <v>20000</v>
      </c>
      <c r="G22" s="7">
        <f>D22-F22</f>
        <v>480000</v>
      </c>
      <c r="H22" s="3"/>
      <c r="I22" s="15"/>
    </row>
    <row r="23" spans="2:9" ht="23.25" thickBot="1">
      <c r="B23" s="4" t="s">
        <v>6</v>
      </c>
      <c r="C23" s="8" t="s">
        <v>42</v>
      </c>
      <c r="D23" s="5">
        <v>100000</v>
      </c>
      <c r="E23" s="8" t="s">
        <v>41</v>
      </c>
      <c r="F23" s="5">
        <v>0</v>
      </c>
      <c r="G23" s="7">
        <f>D23-F23</f>
        <v>100000</v>
      </c>
      <c r="H23" s="3"/>
      <c r="I23" s="15"/>
    </row>
    <row r="24" spans="2:9" ht="23.25" thickBot="1">
      <c r="B24" s="4"/>
      <c r="C24" s="8"/>
      <c r="D24" s="5"/>
      <c r="E24" s="8"/>
      <c r="F24" s="5"/>
      <c r="G24" s="11">
        <f>SUM(G4:G23)</f>
        <v>52455405.843999997</v>
      </c>
      <c r="H24" s="3"/>
    </row>
    <row r="25" spans="2:9" ht="23.25" thickBot="1">
      <c r="B25" s="4"/>
      <c r="C25" s="8"/>
      <c r="D25" s="5"/>
      <c r="E25" s="8"/>
      <c r="F25" s="5"/>
      <c r="G25" s="7"/>
      <c r="H25" s="3"/>
    </row>
    <row r="26" spans="2:9" ht="45.75" thickBot="1">
      <c r="B26" s="1" t="s">
        <v>0</v>
      </c>
      <c r="C26" s="1" t="s">
        <v>1</v>
      </c>
      <c r="D26" s="1" t="s">
        <v>2</v>
      </c>
      <c r="E26" s="1" t="s">
        <v>3</v>
      </c>
      <c r="F26" s="1" t="s">
        <v>4</v>
      </c>
      <c r="G26" s="1" t="s">
        <v>5</v>
      </c>
      <c r="H26" s="3"/>
      <c r="I26" s="16"/>
    </row>
    <row r="27" spans="2:9" ht="23.25" thickBot="1">
      <c r="B27" s="4" t="s">
        <v>43</v>
      </c>
      <c r="C27" s="8" t="s">
        <v>44</v>
      </c>
      <c r="D27" s="5">
        <f>9540126.72</f>
        <v>9540126.7200000007</v>
      </c>
      <c r="E27" s="8" t="s">
        <v>45</v>
      </c>
      <c r="F27" s="5">
        <f>3504894.72+3381000</f>
        <v>6885894.7200000007</v>
      </c>
      <c r="G27" s="7">
        <f t="shared" ref="G27:G40" si="3">D27-F27</f>
        <v>2654232</v>
      </c>
    </row>
    <row r="28" spans="2:9" ht="23.25" thickBot="1">
      <c r="B28" s="4" t="s">
        <v>43</v>
      </c>
      <c r="C28" s="8" t="s">
        <v>46</v>
      </c>
      <c r="D28" s="5">
        <v>4177594.8</v>
      </c>
      <c r="E28" s="8" t="s">
        <v>47</v>
      </c>
      <c r="F28" s="5">
        <v>2509045.92</v>
      </c>
      <c r="G28" s="7">
        <f t="shared" si="3"/>
        <v>1668548.88</v>
      </c>
    </row>
    <row r="29" spans="2:9" ht="23.25" thickBot="1">
      <c r="B29" s="4"/>
      <c r="C29" s="8"/>
      <c r="D29" s="5"/>
      <c r="E29" s="9"/>
      <c r="F29" s="5"/>
      <c r="G29" s="11">
        <f>SUM(G27:G28)</f>
        <v>4322780.88</v>
      </c>
    </row>
    <row r="30" spans="2:9" ht="23.25" thickBot="1">
      <c r="B30" s="4"/>
      <c r="C30" s="8"/>
      <c r="D30" s="5"/>
      <c r="E30" s="9"/>
      <c r="F30" s="5"/>
      <c r="G30" s="7"/>
    </row>
    <row r="31" spans="2:9" ht="45.75" thickBot="1">
      <c r="B31" s="1" t="s">
        <v>0</v>
      </c>
      <c r="C31" s="1" t="s">
        <v>1</v>
      </c>
      <c r="D31" s="1" t="s">
        <v>2</v>
      </c>
      <c r="E31" s="1" t="s">
        <v>3</v>
      </c>
      <c r="F31" s="1" t="s">
        <v>4</v>
      </c>
      <c r="G31" s="1" t="s">
        <v>5</v>
      </c>
    </row>
    <row r="32" spans="2:9" ht="23.25" thickBot="1">
      <c r="B32" s="4" t="s">
        <v>48</v>
      </c>
      <c r="C32" s="8" t="s">
        <v>49</v>
      </c>
      <c r="D32" s="5">
        <v>11986681.560000001</v>
      </c>
      <c r="E32" s="12" t="s">
        <v>50</v>
      </c>
      <c r="F32" s="5">
        <v>2814750</v>
      </c>
      <c r="G32" s="7">
        <f t="shared" si="3"/>
        <v>9171931.5600000005</v>
      </c>
    </row>
    <row r="33" spans="2:8" ht="23.25" thickBot="1">
      <c r="B33" s="4" t="s">
        <v>48</v>
      </c>
      <c r="C33" s="8" t="s">
        <v>51</v>
      </c>
      <c r="D33" s="5">
        <v>10097972.4</v>
      </c>
      <c r="E33" s="13"/>
      <c r="F33" s="5">
        <v>7784000</v>
      </c>
      <c r="G33" s="7">
        <f t="shared" si="3"/>
        <v>2313972.4000000004</v>
      </c>
    </row>
    <row r="34" spans="2:8" ht="23.25" thickBot="1">
      <c r="B34" s="4" t="s">
        <v>48</v>
      </c>
      <c r="C34" s="8" t="s">
        <v>52</v>
      </c>
      <c r="D34" s="5">
        <v>3542638.2</v>
      </c>
      <c r="E34" s="13"/>
      <c r="F34" s="5">
        <v>3301250</v>
      </c>
      <c r="G34" s="7">
        <f t="shared" si="3"/>
        <v>241388.20000000019</v>
      </c>
    </row>
    <row r="35" spans="2:8" ht="23.25" thickBot="1">
      <c r="B35" s="4" t="s">
        <v>48</v>
      </c>
      <c r="C35" s="8" t="s">
        <v>53</v>
      </c>
      <c r="D35" s="5">
        <v>2987776.08</v>
      </c>
      <c r="E35" s="13"/>
      <c r="F35" s="5">
        <v>0</v>
      </c>
      <c r="G35" s="7">
        <f t="shared" si="3"/>
        <v>2987776.08</v>
      </c>
    </row>
    <row r="36" spans="2:8" ht="23.25" thickBot="1">
      <c r="B36" s="4" t="s">
        <v>48</v>
      </c>
      <c r="C36" s="8" t="s">
        <v>54</v>
      </c>
      <c r="D36" s="5">
        <v>524562.96</v>
      </c>
      <c r="E36" s="14"/>
      <c r="F36" s="5">
        <v>0</v>
      </c>
      <c r="G36" s="7">
        <f t="shared" si="3"/>
        <v>524562.96</v>
      </c>
    </row>
    <row r="37" spans="2:8" ht="23.25" thickBot="1">
      <c r="B37" s="4" t="s">
        <v>48</v>
      </c>
      <c r="C37" s="8" t="s">
        <v>55</v>
      </c>
      <c r="D37" s="5">
        <v>8000000</v>
      </c>
      <c r="E37" s="8" t="s">
        <v>56</v>
      </c>
      <c r="F37" s="5">
        <v>2300000</v>
      </c>
      <c r="G37" s="7">
        <f t="shared" si="3"/>
        <v>5700000</v>
      </c>
    </row>
    <row r="38" spans="2:8" ht="23.25" thickBot="1">
      <c r="B38" s="4" t="s">
        <v>48</v>
      </c>
      <c r="C38" s="8" t="s">
        <v>57</v>
      </c>
      <c r="D38" s="5">
        <v>396522.38</v>
      </c>
      <c r="E38" s="12" t="s">
        <v>58</v>
      </c>
      <c r="F38" s="5">
        <v>258479.76</v>
      </c>
      <c r="G38" s="7">
        <f t="shared" si="3"/>
        <v>138042.62</v>
      </c>
      <c r="H38" s="2"/>
    </row>
    <row r="39" spans="2:8" ht="23.25" thickBot="1">
      <c r="B39" s="4" t="s">
        <v>48</v>
      </c>
      <c r="C39" s="8" t="s">
        <v>59</v>
      </c>
      <c r="D39" s="5">
        <v>729286.9</v>
      </c>
      <c r="E39" s="13"/>
      <c r="F39" s="5">
        <v>700115.4</v>
      </c>
      <c r="G39" s="7">
        <f t="shared" si="3"/>
        <v>29171.5</v>
      </c>
      <c r="H39" s="2"/>
    </row>
    <row r="40" spans="2:8" ht="23.25" thickBot="1">
      <c r="B40" s="4" t="s">
        <v>48</v>
      </c>
      <c r="C40" s="8" t="s">
        <v>60</v>
      </c>
      <c r="D40" s="5">
        <v>1537686.56</v>
      </c>
      <c r="E40" s="14"/>
      <c r="F40" s="5">
        <v>1182740.26</v>
      </c>
      <c r="G40" s="7">
        <f t="shared" si="3"/>
        <v>354946.30000000005</v>
      </c>
      <c r="H40" s="2"/>
    </row>
    <row r="41" spans="2:8" ht="23.25" thickBot="1">
      <c r="B41" s="4" t="s">
        <v>48</v>
      </c>
      <c r="C41" s="8" t="s">
        <v>61</v>
      </c>
      <c r="D41" s="5">
        <v>981699.29</v>
      </c>
      <c r="E41" s="8" t="s">
        <v>62</v>
      </c>
      <c r="F41" s="5">
        <v>885222.33</v>
      </c>
      <c r="G41" s="7">
        <f t="shared" ref="G41:G44" si="4">D41-F41</f>
        <v>96476.960000000079</v>
      </c>
      <c r="H41" s="2"/>
    </row>
    <row r="42" spans="2:8" ht="23.25" thickBot="1">
      <c r="B42" s="4" t="s">
        <v>48</v>
      </c>
      <c r="C42" s="8" t="s">
        <v>63</v>
      </c>
      <c r="D42" s="5">
        <v>795533.46</v>
      </c>
      <c r="E42" s="8" t="s">
        <v>64</v>
      </c>
      <c r="F42" s="5">
        <v>695533.5</v>
      </c>
      <c r="G42" s="7">
        <f t="shared" si="4"/>
        <v>99999.959999999963</v>
      </c>
      <c r="H42" s="2"/>
    </row>
    <row r="43" spans="2:8" ht="23.25" thickBot="1">
      <c r="B43" s="4" t="s">
        <v>48</v>
      </c>
      <c r="C43" s="8" t="s">
        <v>65</v>
      </c>
      <c r="D43" s="5">
        <v>446749.44</v>
      </c>
      <c r="E43" s="8" t="s">
        <v>66</v>
      </c>
      <c r="F43" s="5">
        <v>319475.74</v>
      </c>
      <c r="G43" s="7">
        <f t="shared" si="4"/>
        <v>127273.70000000001</v>
      </c>
      <c r="H43" s="2"/>
    </row>
    <row r="44" spans="2:8" ht="23.25" thickBot="1">
      <c r="B44" s="4" t="s">
        <v>48</v>
      </c>
      <c r="C44" s="8" t="s">
        <v>67</v>
      </c>
      <c r="D44" s="5">
        <v>346479</v>
      </c>
      <c r="E44" s="8" t="s">
        <v>68</v>
      </c>
      <c r="F44" s="5">
        <v>16499</v>
      </c>
      <c r="G44" s="7">
        <f t="shared" si="4"/>
        <v>329980</v>
      </c>
      <c r="H44" s="2"/>
    </row>
    <row r="45" spans="2:8" ht="23.25" thickBot="1">
      <c r="B45" s="4"/>
      <c r="C45" s="8"/>
      <c r="D45" s="8"/>
      <c r="E45" s="8"/>
      <c r="F45" s="8"/>
      <c r="G45" s="10">
        <f>SUM(G32:G44)</f>
        <v>22115522.240000002</v>
      </c>
    </row>
  </sheetData>
  <mergeCells count="2">
    <mergeCell ref="E32:E36"/>
    <mergeCell ref="E38:E40"/>
  </mergeCells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2F046807166FF44AF67FF556B8D7F91" ma:contentTypeVersion="1" ma:contentTypeDescription="Crie um novo documento." ma:contentTypeScope="" ma:versionID="fbb24b358e8fe62b8727c5b5cfebc6e9">
  <xsd:schema xmlns:xsd="http://www.w3.org/2001/XMLSchema" xmlns:xs="http://www.w3.org/2001/XMLSchema" xmlns:p="http://schemas.microsoft.com/office/2006/metadata/properties" xmlns:ns2="a356a715-37d4-44b2-aeae-6e2c467ab40e" targetNamespace="http://schemas.microsoft.com/office/2006/metadata/properties" ma:root="true" ma:fieldsID="c4c08f48068c28a70ff63651eee5e3b6" ns2:_="">
    <xsd:import namespace="a356a715-37d4-44b2-aeae-6e2c467ab40e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56a715-37d4-44b2-aeae-6e2c467ab40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8FCDA4E-D03A-4597-9F9B-8D82140A02B0}"/>
</file>

<file path=customXml/itemProps2.xml><?xml version="1.0" encoding="utf-8"?>
<ds:datastoreItem xmlns:ds="http://schemas.openxmlformats.org/officeDocument/2006/customXml" ds:itemID="{AC65C9BA-C0C4-4EF0-A7EA-30B252AC14EB}"/>
</file>

<file path=customXml/itemProps3.xml><?xml version="1.0" encoding="utf-8"?>
<ds:datastoreItem xmlns:ds="http://schemas.openxmlformats.org/officeDocument/2006/customXml" ds:itemID="{83B3C2F7-BEE6-40F0-9B5D-83ACEF73622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Aliene Pereira Dos Santos</dc:creator>
  <cp:keywords/>
  <dc:description/>
  <cp:lastModifiedBy>aliene.santos</cp:lastModifiedBy>
  <cp:revision/>
  <dcterms:created xsi:type="dcterms:W3CDTF">2026-09-25T17:45:21Z</dcterms:created>
  <dcterms:modified xsi:type="dcterms:W3CDTF">2026-10-15T17:51:11Z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0x01010032F046807166FF44AF67FF556B8D7F91</vt:lpwstr>
  </property>
</Properties>
</file>